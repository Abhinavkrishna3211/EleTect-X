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aily Energy (Wh)" sheetId="2" state="visible" r:id="rId4"/>
    <sheet name="Battery &amp; Solar Sizing" sheetId="3" state="visible" r:id="rId5"/>
    <sheet name="Notes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<sst xmlns="http://schemas.openxmlformats.org/spreadsheetml/2006/main" count="206" uniqueCount="184">
  <si>
    <t xml:space="preserve">EleTect X — Power Budget Assumptions</t>
  </si>
  <si>
    <t xml:space="preserve">Edit the blue Value cells. Yellow-filled rows are placeholder estimates (no site data yet) — revisit first.</t>
  </si>
  <si>
    <t xml:space="preserve">Assumption</t>
  </si>
  <si>
    <t xml:space="preserve">Value</t>
  </si>
  <si>
    <t xml:space="preserve">Unit</t>
  </si>
  <si>
    <t xml:space="preserve">Source / note</t>
  </si>
  <si>
    <t xml:space="preserve">Board baseline power (MCU active, MPU deep-suspend)</t>
  </si>
  <si>
    <t xml:space="preserve">W</t>
  </si>
  <si>
    <t xml:space="preserve">ADR 0008 — real measured 0.42-0.45W @5.1V for this exact use case (continuous sensing, MPU woken only on event). Using worst case.</t>
  </si>
  <si>
    <t xml:space="preserve">Sensor front-end + env sensor overhead</t>
  </si>
  <si>
    <t xml:space="preserve">Estimate: INA333 + MCP6002 dual op-amp + BME280 + MPU-6050 quiescent draw, generous margin (each is sub-mA class).</t>
  </si>
  <si>
    <t xml:space="preserve">LoRa idle/heartbeat energy</t>
  </si>
  <si>
    <t xml:space="preserve">Wh/day</t>
  </si>
  <si>
    <t xml:space="preserve">Estimate: Grove LoRa-E5 (STM32WLE5) TX ~120mA for well under 1s per uplink, ~15 uplinks/day. Effectively negligible either way.</t>
  </si>
  <si>
    <t xml:space="preserve">MPU active power (camera streaming + inference)</t>
  </si>
  <si>
    <t xml:space="preserve">Community-measured Arduino UNO Q camera-inference power draw (forum/review sources, 2026) — see Notes tab for links.</t>
  </si>
  <si>
    <t xml:space="preserve">Tier-1 events/day (wake + vision-confirm, no deterrence)</t>
  </si>
  <si>
    <t xml:space="preserve">count/day</t>
  </si>
  <si>
    <t xml:space="preserve">PLACEHOLDER — no site-specific detection-rate data yet for this boundary. Adjust once field data exists.</t>
  </si>
  <si>
    <t xml:space="preserve">Tier-1 MPU active duration</t>
  </si>
  <si>
    <t xml:space="preserve">s</t>
  </si>
  <si>
    <t xml:space="preserve">Estimate: suspend-resume + camera + inference + fusion decision, no deterrence hardware.</t>
  </si>
  <si>
    <t xml:space="preserve">Tier-2 events/day (confirmed elephant, full deterrence)</t>
  </si>
  <si>
    <t xml:space="preserve">PLACEHOLDER — same caveat as Tier-1. This is the single highest-leverage number in this sheet — revisit with real DFO/field data.</t>
  </si>
  <si>
    <t xml:space="preserve">Tier-2 MPU active duration</t>
  </si>
  <si>
    <t xml:space="preserve">Estimate: resume + camera + inference + fusion + bandit decision + LoRa alert.</t>
  </si>
  <si>
    <t xml:space="preserve">Audio deterrence power (during blast)</t>
  </si>
  <si>
    <t xml:space="preserve">TPA3116D2 into 8ohm Ahuja SUH-15 horn at ~15W rated acoustic output, ~92% Class-D efficiency (TI datasheet) -&gt; ~16-18W input.</t>
  </si>
  <si>
    <t xml:space="preserve">Audio duration per Tier-2 event</t>
  </si>
  <si>
    <t xml:space="preserve">Estimate — single deterrence blast.</t>
  </si>
  <si>
    <t xml:space="preserve">LED deterrence avg power (irregular strobe, ~55% duty)</t>
  </si>
  <si>
    <t xml:space="preserve">Estimate: 18W nominal max string x approx duty cycle for an irregular (not continuous) strobe pattern per CONTEXT.md.</t>
  </si>
  <si>
    <t xml:space="preserve">LED duration per Tier-2 event</t>
  </si>
  <si>
    <t xml:space="preserve">Estimate.</t>
  </si>
  <si>
    <t xml:space="preserve">LED max simultaneous power (all on, full rated current)</t>
  </si>
  <si>
    <t xml:space="preserve">4x3W cool-white + 2x3W royal-blue stars, nominal rated current (BOM section 5). Used for peak/fuse sizing, not daily energy.</t>
  </si>
  <si>
    <t xml:space="preserve">IR illuminator power (during capture)</t>
  </si>
  <si>
    <t xml:space="preserve">Estimate only — 940nm illuminator board is still on order (status O in procurement tracker). Confirm against real datasheet on arrival.</t>
  </si>
  <si>
    <t xml:space="preserve">IR duration per Tier-2 event</t>
  </si>
  <si>
    <t xml:space="preserve">Estimate — spans the camera-active portion of the event.</t>
  </si>
  <si>
    <t xml:space="preserve">Design margin multiplier</t>
  </si>
  <si>
    <t xml:space="preserve">x</t>
  </si>
  <si>
    <t xml:space="preserve">25% margin over the raw calculated total, for estimate uncertainty, cell aging, and temperature derate.</t>
  </si>
  <si>
    <t xml:space="preserve">Battery usable depth of discharge (LiFePO4)</t>
  </si>
  <si>
    <t xml:space="preserve">fraction</t>
  </si>
  <si>
    <t xml:space="preserve">Raised from 0.8 to 0.85 (12 Aug revision, keep the system as small as possible). LiFePO4 tolerates this depth routinely; the node mostly floats near full charge off solar anyway.</t>
  </si>
  <si>
    <t xml:space="preserve">No-sun autonomy target</t>
  </si>
  <si>
    <t xml:space="preserve">days</t>
  </si>
  <si>
    <t xml:space="preserve">Cut from 4 to 3 days (12 Aug revision, smaller-system request). Recommended floor, not lower - Kerala's monsoon produces genuine multi-week low-generation stretches, and this is a safety system real people rely on. See the sensitivity table on the Battery and Solar Sizing tab.</t>
  </si>
  <si>
    <t xml:space="preserve">Battery nominal voltage</t>
  </si>
  <si>
    <t xml:space="preserve">V</t>
  </si>
  <si>
    <t xml:space="preserve">4S LiFePO4 (3.2V/cell nominal) — CONTEXT.md section 3, frozen architecture.</t>
  </si>
  <si>
    <t xml:space="preserve">Ernakulam/Kochi annual average peak sun hours</t>
  </si>
  <si>
    <t xml:space="preserve">h/day</t>
  </si>
  <si>
    <t xml:space="preserve">Web search, coastal Kerala solar-generation sources, 2026 — see Notes tab for links. Nearest available proxy to Kothamangalam.</t>
  </si>
  <si>
    <t xml:space="preserve">Monsoon GHI derate (Jun-Sep)</t>
  </si>
  <si>
    <t xml:space="preserve">Cited range is 25-35% GHI drop at south Indian coastal sites Jun-Sep. Using the midpoint, biased conservative since Kothamangalam sits nearer the Western Ghats and typically sees heavier monsoon rainfall than coastal Kochi.</t>
  </si>
  <si>
    <t xml:space="preserve">System derate (MPPT + wiring + temp + soiling + angle losses)</t>
  </si>
  <si>
    <t xml:space="preserve">fraction retained</t>
  </si>
  <si>
    <t xml:space="preserve">Standard off-grid solar design derate — i.e. 25% total system loss between panel-rated W and energy actually reaching the battery.</t>
  </si>
  <si>
    <t xml:space="preserve">Fuse safety margin over calculated peak load</t>
  </si>
  <si>
    <t xml:space="preserve">Standard practice — fuse rated above worst-case peak draw, but still well under wire/connector/battery safe limits.</t>
  </si>
  <si>
    <t xml:space="preserve">EleTect X — Daily Energy Budget</t>
  </si>
  <si>
    <t xml:space="preserve">All cells below are formulas driven by the Assumptions tab — change assumptions there, this recalculates.</t>
  </si>
  <si>
    <t xml:space="preserve">Item</t>
  </si>
  <si>
    <t xml:space="preserve">Calculation</t>
  </si>
  <si>
    <t xml:space="preserve">Baseline (24h continuous — reflex layer always on)</t>
  </si>
  <si>
    <t xml:space="preserve">Board baseline (MCU active, MPU deep-suspend)</t>
  </si>
  <si>
    <t xml:space="preserve">board W x 24h</t>
  </si>
  <si>
    <t xml:space="preserve">sensor W x 24h</t>
  </si>
  <si>
    <t xml:space="preserve">LoRa idle/heartbeat</t>
  </si>
  <si>
    <t xml:space="preserve">direct entry</t>
  </si>
  <si>
    <t xml:space="preserve">Baseline subtotal</t>
  </si>
  <si>
    <t xml:space="preserve">Tier 1 — MPU wake + vision-confirm, no deterrence</t>
  </si>
  <si>
    <t xml:space="preserve">Energy per Tier-1 event</t>
  </si>
  <si>
    <t xml:space="preserve">MPU active W x (duration s / 3600)</t>
  </si>
  <si>
    <t xml:space="preserve">Tier-1 daily energy</t>
  </si>
  <si>
    <t xml:space="preserve">per-event Wh x events/day</t>
  </si>
  <si>
    <t xml:space="preserve">Tier 2 — confirmed elephant, full deterrence cycle</t>
  </si>
  <si>
    <t xml:space="preserve">MPU active energy per event</t>
  </si>
  <si>
    <t xml:space="preserve">Audio deterrence energy per event</t>
  </si>
  <si>
    <t xml:space="preserve">audio W x (duration s / 3600)</t>
  </si>
  <si>
    <t xml:space="preserve">LED deterrence energy per event</t>
  </si>
  <si>
    <t xml:space="preserve">LED avg W x (duration s / 3600)</t>
  </si>
  <si>
    <t xml:space="preserve">IR illuminator energy per event</t>
  </si>
  <si>
    <t xml:space="preserve">IR W x (duration s / 3600)</t>
  </si>
  <si>
    <t xml:space="preserve">Total energy per Tier-2 event</t>
  </si>
  <si>
    <t xml:space="preserve">Tier-2 daily energy</t>
  </si>
  <si>
    <t xml:space="preserve">Event subtotal</t>
  </si>
  <si>
    <t xml:space="preserve">TOTAL daily energy (no margin)</t>
  </si>
  <si>
    <t xml:space="preserve">TOTAL daily energy (design figure, with margin)</t>
  </si>
  <si>
    <t xml:space="preserve">EleTect X — Battery, Solar, MPPT, Fuse Sizing</t>
  </si>
  <si>
    <t xml:space="preserve">Formula-driven from Daily Energy (Wh) and Assumptions tabs.</t>
  </si>
  <si>
    <t xml:space="preserve">Battery</t>
  </si>
  <si>
    <t xml:space="preserve">Design daily energy</t>
  </si>
  <si>
    <t xml:space="preserve">from Daily Energy tab (with margin)</t>
  </si>
  <si>
    <t xml:space="preserve">Battery capacity needed (Wh)</t>
  </si>
  <si>
    <t xml:space="preserve">daily Wh x autonomy days / DoD</t>
  </si>
  <si>
    <t xml:space="preserve">Battery capacity needed (Ah)</t>
  </si>
  <si>
    <t xml:space="preserve">Wh / nominal voltage</t>
  </si>
  <si>
    <t xml:space="preserve">Recommended battery capacity, rounded up</t>
  </si>
  <si>
    <t xml:space="preserve">CEILING to next whole Ah</t>
  </si>
  <si>
    <t xml:space="preserve">Solar</t>
  </si>
  <si>
    <t xml:space="preserve">Annual average peak sun hours (Kochi/Ernakulam proxy)</t>
  </si>
  <si>
    <t xml:space="preserve">from Assumptions</t>
  </si>
  <si>
    <t xml:space="preserve">Monsoon-derated peak sun hours (design case)</t>
  </si>
  <si>
    <t xml:space="preserve">annual PSH x (1 - monsoon derate)</t>
  </si>
  <si>
    <t xml:space="preserve">Minimum panel wattage needed (theoretical)</t>
  </si>
  <si>
    <t xml:space="preserve">daily Wh / (monsoon PSH x system derate)</t>
  </si>
  <si>
    <t xml:space="preserve">15W panel — monsoon-day harvest</t>
  </si>
  <si>
    <t xml:space="preserve">15 x monsoon PSH x system derate</t>
  </si>
  <si>
    <t xml:space="preserve">20W panel — monsoon-day harvest</t>
  </si>
  <si>
    <t xml:space="preserve">20 x monsoon PSH x system derate</t>
  </si>
  <si>
    <t xml:space="preserve">Margin vs need — 15W panel</t>
  </si>
  <si>
    <t xml:space="preserve">harvest / design daily need</t>
  </si>
  <si>
    <t xml:space="preserve">Margin vs need — 20W panel</t>
  </si>
  <si>
    <t xml:space="preserve">Recommended panel: 15W (theoretical) / 20W (realistic purchase)</t>
  </si>
  <si>
    <t xml:space="preserve">Reason (revised 12 Aug): 15W clears the monsoon-derated need with about 1.86x margin. In practice, small retail panels are commonly sold in 10W/20W steps, not 15W, so 20W (about 2.48x margin) is the realistic smallest purchasable size - see the Notes tab for a real Robu.in listing.</t>
  </si>
  <si>
    <t xml:space="preserve">MPPT controller</t>
  </si>
  <si>
    <t xml:space="preserve">Approx. charging current at 20W / battery voltage</t>
  </si>
  <si>
    <t xml:space="preserve">panel W / battery V</t>
  </si>
  <si>
    <t xml:space="preserve">Recommended MPPT continuous rating (min, with margin)</t>
  </si>
  <si>
    <t xml:space="preserve">approx current x 1.5</t>
  </si>
  <si>
    <t xml:space="preserve">Must be explicitly LiFePO4-profile (absorption ~14.6V, float ~13.6V for 4S) and low quiescent current — a leaky always-on MPPT can itself eat into the small daily budget above.</t>
  </si>
  <si>
    <t xml:space="preserve">Fuse (main battery-to-load protection)</t>
  </si>
  <si>
    <t xml:space="preserve">Peak instantaneous load (MPU active + audio + LEDs max + IR, worst-case coincident)</t>
  </si>
  <si>
    <t xml:space="preserve">sum of peak-draw assumption cells</t>
  </si>
  <si>
    <t xml:space="preserve">Peak current draw</t>
  </si>
  <si>
    <t xml:space="preserve">peak W / battery V</t>
  </si>
  <si>
    <t xml:space="preserve">Recommended minimum fuse rating</t>
  </si>
  <si>
    <t xml:space="preserve">peak current x safety margin</t>
  </si>
  <si>
    <t xml:space="preserve">Existing BOM fuse spec</t>
  </si>
  <si>
    <t xml:space="preserve">hardware/bom/bom.md section 6</t>
  </si>
  <si>
    <t xml:space="preserve">5</t>
  </si>
  <si>
    <t xml:space="preserve">Margin of existing 5A fuse over calculated minimum</t>
  </si>
  <si>
    <t xml:space="preserve">5A / recommended minimum</t>
  </si>
  <si>
    <t xml:space="preserve">Autonomy sensitivity (reference only - main figures above use 3-day / 85% DoD)</t>
  </si>
  <si>
    <t xml:space="preserve">Scenario</t>
  </si>
  <si>
    <t xml:space="preserve">Battery (Ah, rounded up)</t>
  </si>
  <si>
    <t xml:space="preserve">2 days no-sun (smallest, tighter monsoon risk)</t>
  </si>
  <si>
    <t xml:space="preserve">daily Wh x 2 / 0.85 DoD / 12.8V</t>
  </si>
  <si>
    <t xml:space="preserve">3 days no-sun - RECOMMENDED</t>
  </si>
  <si>
    <t xml:space="preserve">daily Wh x 3 / 0.85 DoD / 12.8V</t>
  </si>
  <si>
    <t xml:space="preserve">4 days no-sun (original, more conservative)</t>
  </si>
  <si>
    <t xml:space="preserve">daily Wh x 4 / 0.85 DoD / 12.8V</t>
  </si>
  <si>
    <t xml:space="preserve">EleTect X — Power Budget: Notes, Sources, and Open Items</t>
  </si>
  <si>
    <t xml:space="preserve">Purpose</t>
  </si>
  <si>
    <t xml:space="preserve">Sizes the 4S LiFePO4 + MPPT + solar panel + fuse block flagged in hardware/bom/procurement-status.md as 'the one block still fully unordered'. Every blue-editable number lives on the Assumptions tab; change any of them and the rest of the workbook recalculates.</t>
  </si>
  <si>
    <t xml:space="preserve">What's a real measurement vs. an estimate</t>
  </si>
  <si>
    <t xml:space="preserve">Real, project-sourced: the 0.42-0.45W board-baseline figure (MCU active, MPU deep-suspend) comes directly from ADR 0008, a real bench measurement from a forum user building the same always-on-sensing/wake-on-event use case, cross-checked against the official Arduino UNO Q power-specification page. That number alone accounts for roughly 10.8Wh of the ~13Wh/day baseline, which is why ADR 0008 calls it 'the single most important number to react to' — this sizing exercise agrees and treats it the same way.</t>
  </si>
  <si>
    <t xml:space="preserve">Real, third-party-sourced: MPU active/camera-inference power (~6.1W) and TPA3116D2 efficiency (~92%) are public, cited figures (see Sources below), not guesses.</t>
  </si>
  <si>
    <t xml:space="preserve">Estimates, flagged in the Assumptions tab notes column: IR illuminator draw (board not yet in hand), LED strobe duty cycle, and event durations. None of these move the total by more than roughly 10-15% even at generous error bars, because the always-on baseline dominates the daily budget.</t>
  </si>
  <si>
    <t xml:space="preserve">PLACEHOLDERS (yellow rows in Assumptions): Tier-1 and Tier-2 daily event counts. There is no site-specific detection-rate data for this boundary yet — these are reasonable planning numbers, not measurements. They are also the lowest-leverage numbers in the sheet: even doubling both event counts only adds ~2-3Wh/day against a ~13Wh/day baseline, so the sizing conclusion below is not sensitive to getting them exactly right.</t>
  </si>
  <si>
    <t xml:space="preserve">Bottom line</t>
  </si>
  <si>
    <t xml:space="preserve">The power budget is baseline-dominated, not event-dominated. The MPU's deep-suspend draw (chosen in ADR 0008 over full poweroff, because no confirmed MPU wake-from-poweroff mechanism exists on this board) is the real cost center. Sizing generously against it is the right lever, not shaving milliseconds off deterrence bursts.</t>
  </si>
  <si>
    <t xml:space="preserve">Recommended purchase specs (see Battery &amp; Solar Sizing tab for the live numbers)</t>
  </si>
  <si>
    <t xml:space="preserve">- Battery: 4S LiFePO4, ~8Ah, WITH INTEGRATED BMS (resolves the separate-BMS BOM line in one purchase). At this capacity a compact prismatic or cylindrical pack is normal off-the-shelf sizing for 12V solar/CCTV-class packs in India — not the bulkier lead-acid-equivalent size the 6-10Ah BOM range might suggest.</t>
  </si>
  <si>
    <t xml:space="preserve">- Solar panel: 20W, monocrystalline, 12V nominal.</t>
  </si>
  <si>
    <t xml:space="preserve">- MPPT: LiFePO4 charge-profile capable (or user-adjustable absorption/float voltage), low quiescent current, rated per the Battery &amp; Solar Sizing tab's calculated minimum current with margin.</t>
  </si>
  <si>
    <t xml:space="preserve">- Fuse: 5A blade + holder — the existing BOM spec is confirmed correct (see the calculated margin on that tab), no change needed.</t>
  </si>
  <si>
    <t xml:space="preserve">Safety notes (explicit, since 'very safe' was a stated requirement)</t>
  </si>
  <si>
    <t xml:space="preserve">- LiFePO4 is already the right chemistry choice for this — it is intrinsically far more thermal-runaway-resistant than NMC/LiPo packs, which matters for an unattended outdoor field box.</t>
  </si>
  <si>
    <t xml:space="preserve">- Integrated BMS covers overcharge / over-discharge / overcurrent / short-circuit / (usually) thermal cutoff in one part, rather than assembling those protections from discrete components.</t>
  </si>
  <si>
    <t xml:space="preserve">- Reverse-polarity protection (Schottky or ideal-diode) and the main fuse are both already in the BOM; this sheet confirms the fuse rating against real calculated peak load rather than a guess.</t>
  </si>
  <si>
    <t xml:space="preserve">- OPEN ITEM, not yet resolved: verify the exact input-voltage tolerance of the 940nm IR illuminator board and the TPA3116D2 amp board once each is in hand, against the full LiFePO4 charge range (as low as ~10V discharged, up to 14.6V at absorption). If either board's datasheet rated max sits below 14.6V, add a small inline buck/regulator ahead of it rather than wiring it directly to the raw battery bus. This cannot be confirmed from a BOM listing alone — it needs the real board's label/datasheet in hand.</t>
  </si>
  <si>
    <t xml:space="preserve">Buck converters — what's actually needed vs. already covered</t>
  </si>
  <si>
    <t xml:space="preserve">- UNO Q compute: none needed. The official power-specification page confirms VIN accepts 7-24V directly into an onboard buck (LMR51440) to the board's internal 5V bus — a 12.8V LiFePO4 bus feeds VIN directly, no external buck required.</t>
  </si>
  <si>
    <t xml:space="preserve">- LEDs: already covered — PT4115 constant-current buck drivers are already specified in BOM section 5.</t>
  </si>
  <si>
    <t xml:space="preserve">- Camera: powered from the UNO Q's own USB-C port (5V), not the raw battery bus — no separate buck.</t>
  </si>
  <si>
    <t xml:space="preserve">- DFPlayer PRO: should be powered from the UNO Q's regulated 5V header pin, not the raw 12.8V bus, consistent with how the rest of the low-voltage peripherals are wired.</t>
  </si>
  <si>
    <t xml:space="preserve">- IR illuminator + TPA3116D2 amp: see the open item above — the only place a buck might still need to be added, pending real datasheet confirmation.</t>
  </si>
  <si>
    <t xml:space="preserve">Sources</t>
  </si>
  <si>
    <t xml:space="preserve">- ADR 0008 (device/docs/decisions/0008-mcu-mpu-power-state-architecture.md) — real measured MPU deep-suspend power (0.42-0.45W @5.1V), citing an Arduino Forum thread of a matching always-on-sensing use case.</t>
  </si>
  <si>
    <t xml:space="preserve">- Arduino UNO Q Power Specifications (official) — https://docs.arduino.cc/tutorials/uno-q/power-specification/</t>
  </si>
  <si>
    <t xml:space="preserve">- Arduino UNO Q idle/full-load/camera-inference power, community-measured (~2-2.5W idle, ~4-5W full CPU load, ~6.1W during camera inference) — see element14 Community roadtest, Tom's Hardware review, and CircuitDigest getting-started guide, all 2026.</t>
  </si>
  <si>
    <t xml:space="preserve">- TPA3116D2 datasheet (Texas Instruments) — https://www.ti.com/product/TPA3116D2 — ~92% Class-D efficiency.</t>
  </si>
  <si>
    <t xml:space="preserve">- Arducam IMX462 day/night USB board (B0490 datasheet) — max power 1.2W @5V — https://blog.arducam.com/downloads/datasheet/B0490_1080P_IMX462_USB_Camera_Datasheet.pdf</t>
  </si>
  <si>
    <t xml:space="preserve">- Kerala/Kochi solar irradiance and monsoon derate — aecosolar.com and heavengreenenergy.com Kerala solar guides, 2026 (Kochi ~4.6 peak-sun-hours/day annual average; south Indian coastal sites see 25-35% GHI drop Jun-Sep).</t>
  </si>
  <si>
    <t xml:space="preserve">- hardware/bom/bom.md and hardware/bom/procurement-status.md — existing BOM/procurement tracker this sizing exercise refines.</t>
  </si>
  <si>
    <t xml:space="preserve">Real sourcing check, 12 Aug (India-available, matching project convention)</t>
  </si>
  <si>
    <t xml:space="preserve">- Battery: Robu.in 'Pro-Range IFR 32650 12.8V 6000mAh 3C 4S1P LiFePO4 Battery Pack' - INR 1799, exactly the 6Ah this sheet recommends. VERIFY integrated BMS/protection before ordering - some capacities in the same Robu product line are explicitly labeled 'Protected', this listing's title does not say so either way; confirm on the product page or with Robu support before assuming it resolves the BMS line.</t>
  </si>
  <si>
    <t xml:space="preserve">- Solar panel: Robu.in '12V 20 Watt Solar Panel' (74x35cm) - INR 1762. Retail small panels are commonly sold in 10W/20W steps, not 15W, so 20W is the realistic smallest purchasable size that still clears the calculated monsoon-day margin (10W alone would fall short of the theoretical minimum with almost no safety margin).</t>
  </si>
  <si>
    <t xml:space="preserve">- MPPT: Sparkel India 'SPSCC-MPP1220Li' is the best spec match found - Made in India, explicitly 4S LiFePO4 profile (14.4V charge voltage), low standby current, INR 3450 - but OUT OF STOCK as of this check. Check Sparkel's other in-stock LiFePO4-compatible controllers first; fallback is any small 10-20A generic controller with a selectable/confirmed LiFePO4 charge profile (14.4-14.6V).</t>
  </si>
  <si>
    <t xml:space="preserve">- Fuse + holder: Robu.in 'Waterproof In-Line Blade Fuse with Holders' (5pcs) - INR 563. Confirm a 5A fuse is included in the assortment, or buy loose 5A blade fuses separately to guarantee the rating.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</si>
</sst>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0" hidden="false" customHeight="true" outlineLevel="0" collapsed="false">
      <c r="A5" s="5" t="s">
        <v>6</v>
      </c>
      <c r="B5" s="6" t="n">
        <v>0.45</v>
      </c>
      <c r="C5" s="7" t="s">
        <v>7</v>
      </c>
      <c r="D5" s="8" t="s">
        <v>8</v>
      </c>
    </row>
    <row r="6" customFormat="false" ht="30" hidden="false" customHeight="true" outlineLevel="0" collapsed="false">
      <c r="A6" s="5" t="s">
        <v>9</v>
      </c>
      <c r="B6" s="6" t="n">
        <v>0.08</v>
      </c>
      <c r="C6" s="7" t="s">
        <v>7</v>
      </c>
      <c r="D6" s="8" t="s">
        <v>10</v>
      </c>
    </row>
    <row r="7" customFormat="false" ht="30" hidden="false" customHeight="true" outlineLevel="0" collapsed="false">
      <c r="A7" s="5" t="s">
        <v>11</v>
      </c>
      <c r="B7" s="6" t="n">
        <v>0.05</v>
      </c>
      <c r="C7" s="7" t="s">
        <v>12</v>
      </c>
      <c r="D7" s="8" t="s">
        <v>13</v>
      </c>
    </row>
    <row r="8" customFormat="false" ht="30" hidden="false" customHeight="true" outlineLevel="0" collapsed="false">
      <c r="A8" s="5" t="s">
        <v>14</v>
      </c>
      <c r="B8" s="6" t="n">
        <v>6.1</v>
      </c>
      <c r="C8" s="7" t="s">
        <v>7</v>
      </c>
      <c r="D8" s="8" t="s">
        <v>15</v>
      </c>
    </row>
    <row r="9" customFormat="false" ht="30" hidden="false" customHeight="true" outlineLevel="0" collapsed="false">
      <c r="A9" s="9" t="s">
        <v>16</v>
      </c>
      <c r="B9" s="10" t="n">
        <v>8</v>
      </c>
      <c r="C9" s="11" t="s">
        <v>17</v>
      </c>
      <c r="D9" s="12" t="s">
        <v>18</v>
      </c>
    </row>
    <row r="10" customFormat="false" ht="30" hidden="false" customHeight="true" outlineLevel="0" collapsed="false">
      <c r="A10" s="5" t="s">
        <v>19</v>
      </c>
      <c r="B10" s="6" t="n">
        <v>90</v>
      </c>
      <c r="C10" s="7" t="s">
        <v>20</v>
      </c>
      <c r="D10" s="8" t="s">
        <v>21</v>
      </c>
    </row>
    <row r="11" customFormat="false" ht="30" hidden="false" customHeight="true" outlineLevel="0" collapsed="false">
      <c r="A11" s="9" t="s">
        <v>22</v>
      </c>
      <c r="B11" s="10" t="n">
        <v>3</v>
      </c>
      <c r="C11" s="11" t="s">
        <v>17</v>
      </c>
      <c r="D11" s="12" t="s">
        <v>23</v>
      </c>
    </row>
    <row r="12" customFormat="false" ht="30" hidden="false" customHeight="true" outlineLevel="0" collapsed="false">
      <c r="A12" s="5" t="s">
        <v>24</v>
      </c>
      <c r="B12" s="6" t="n">
        <v>150</v>
      </c>
      <c r="C12" s="7" t="s">
        <v>20</v>
      </c>
      <c r="D12" s="8" t="s">
        <v>25</v>
      </c>
    </row>
    <row r="13" customFormat="false" ht="30" hidden="false" customHeight="true" outlineLevel="0" collapsed="false">
      <c r="A13" s="5" t="s">
        <v>26</v>
      </c>
      <c r="B13" s="6" t="n">
        <v>18</v>
      </c>
      <c r="C13" s="7" t="s">
        <v>7</v>
      </c>
      <c r="D13" s="8" t="s">
        <v>27</v>
      </c>
    </row>
    <row r="14" customFormat="false" ht="30" hidden="false" customHeight="true" outlineLevel="0" collapsed="false">
      <c r="A14" s="5" t="s">
        <v>28</v>
      </c>
      <c r="B14" s="6" t="n">
        <v>15</v>
      </c>
      <c r="C14" s="7" t="s">
        <v>20</v>
      </c>
      <c r="D14" s="8" t="s">
        <v>29</v>
      </c>
    </row>
    <row r="15" customFormat="false" ht="30" hidden="false" customHeight="true" outlineLevel="0" collapsed="false">
      <c r="A15" s="5" t="s">
        <v>30</v>
      </c>
      <c r="B15" s="6" t="n">
        <v>10</v>
      </c>
      <c r="C15" s="7" t="s">
        <v>7</v>
      </c>
      <c r="D15" s="8" t="s">
        <v>31</v>
      </c>
    </row>
    <row r="16" customFormat="false" ht="30" hidden="false" customHeight="true" outlineLevel="0" collapsed="false">
      <c r="A16" s="5" t="s">
        <v>32</v>
      </c>
      <c r="B16" s="6" t="n">
        <v>45</v>
      </c>
      <c r="C16" s="7" t="s">
        <v>20</v>
      </c>
      <c r="D16" s="8" t="s">
        <v>33</v>
      </c>
    </row>
    <row r="17" customFormat="false" ht="30" hidden="false" customHeight="true" outlineLevel="0" collapsed="false">
      <c r="A17" s="5" t="s">
        <v>34</v>
      </c>
      <c r="B17" s="6" t="n">
        <v>18</v>
      </c>
      <c r="C17" s="7" t="s">
        <v>7</v>
      </c>
      <c r="D17" s="8" t="s">
        <v>35</v>
      </c>
    </row>
    <row r="18" customFormat="false" ht="30" hidden="false" customHeight="true" outlineLevel="0" collapsed="false">
      <c r="A18" s="5" t="s">
        <v>36</v>
      </c>
      <c r="B18" s="6" t="n">
        <v>3</v>
      </c>
      <c r="C18" s="7" t="s">
        <v>7</v>
      </c>
      <c r="D18" s="8" t="s">
        <v>37</v>
      </c>
    </row>
    <row r="19" customFormat="false" ht="30" hidden="false" customHeight="true" outlineLevel="0" collapsed="false">
      <c r="A19" s="5" t="s">
        <v>38</v>
      </c>
      <c r="B19" s="6" t="n">
        <v>90</v>
      </c>
      <c r="C19" s="7" t="s">
        <v>20</v>
      </c>
      <c r="D19" s="8" t="s">
        <v>39</v>
      </c>
    </row>
    <row r="20" customFormat="false" ht="30" hidden="false" customHeight="true" outlineLevel="0" collapsed="false">
      <c r="A20" s="5" t="s">
        <v>40</v>
      </c>
      <c r="B20" s="6" t="n">
        <v>1.25</v>
      </c>
      <c r="C20" s="7" t="s">
        <v>41</v>
      </c>
      <c r="D20" s="8" t="s">
        <v>42</v>
      </c>
    </row>
    <row r="21" customFormat="false" ht="30" hidden="false" customHeight="true" outlineLevel="0" collapsed="false">
      <c r="A21" s="5" t="s">
        <v>43</v>
      </c>
      <c r="B21" s="6" t="n">
        <v>0.85</v>
      </c>
      <c r="C21" s="7" t="s">
        <v>44</v>
      </c>
      <c r="D21" s="8" t="s">
        <v>45</v>
      </c>
    </row>
    <row r="22" customFormat="false" ht="30" hidden="false" customHeight="true" outlineLevel="0" collapsed="false">
      <c r="A22" s="5" t="s">
        <v>46</v>
      </c>
      <c r="B22" s="6" t="n">
        <v>3</v>
      </c>
      <c r="C22" s="7" t="s">
        <v>47</v>
      </c>
      <c r="D22" s="8" t="s">
        <v>48</v>
      </c>
    </row>
    <row r="23" customFormat="false" ht="30" hidden="false" customHeight="true" outlineLevel="0" collapsed="false">
      <c r="A23" s="5" t="s">
        <v>49</v>
      </c>
      <c r="B23" s="6" t="n">
        <v>12.8</v>
      </c>
      <c r="C23" s="7" t="s">
        <v>50</v>
      </c>
      <c r="D23" s="8" t="s">
        <v>51</v>
      </c>
    </row>
    <row r="24" customFormat="false" ht="30" hidden="false" customHeight="true" outlineLevel="0" collapsed="false">
      <c r="A24" s="5" t="s">
        <v>52</v>
      </c>
      <c r="B24" s="6" t="n">
        <v>4.6</v>
      </c>
      <c r="C24" s="7" t="s">
        <v>53</v>
      </c>
      <c r="D24" s="8" t="s">
        <v>54</v>
      </c>
    </row>
    <row r="25" customFormat="false" ht="30" hidden="false" customHeight="true" outlineLevel="0" collapsed="false">
      <c r="A25" s="5" t="s">
        <v>55</v>
      </c>
      <c r="B25" s="6" t="n">
        <v>0.3</v>
      </c>
      <c r="C25" s="7" t="s">
        <v>44</v>
      </c>
      <c r="D25" s="8" t="s">
        <v>56</v>
      </c>
    </row>
    <row r="26" customFormat="false" ht="30" hidden="false" customHeight="true" outlineLevel="0" collapsed="false">
      <c r="A26" s="5" t="s">
        <v>57</v>
      </c>
      <c r="B26" s="6" t="n">
        <v>0.75</v>
      </c>
      <c r="C26" s="7" t="s">
        <v>58</v>
      </c>
      <c r="D26" s="8" t="s">
        <v>59</v>
      </c>
    </row>
    <row r="27" customFormat="false" ht="30" hidden="false" customHeight="true" outlineLevel="0" collapsed="false">
      <c r="A27" s="5" t="s">
        <v>60</v>
      </c>
      <c r="B27" s="6" t="n">
        <v>1.25</v>
      </c>
      <c r="C27" s="7" t="s">
        <v>41</v>
      </c>
      <c r="D27" s="8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46"/>
    <col collapsed="false" customWidth="true" hidden="false" outlineLevel="0" max="3" min="3" style="1" width="16"/>
  </cols>
  <sheetData>
    <row r="1" customFormat="false" ht="17.25" hidden="false" customHeight="true" outlineLevel="0" collapsed="false">
      <c r="A1" s="2" t="s">
        <v>62</v>
      </c>
    </row>
    <row r="2" customFormat="false" ht="15" hidden="false" customHeight="true" outlineLevel="0" collapsed="false">
      <c r="A2" s="3" t="s">
        <v>63</v>
      </c>
    </row>
    <row r="4" customFormat="false" ht="15" hidden="false" customHeight="true" outlineLevel="0" collapsed="false">
      <c r="A4" s="4" t="s">
        <v>64</v>
      </c>
      <c r="B4" s="4" t="s">
        <v>65</v>
      </c>
      <c r="C4" s="4" t="s">
        <v>12</v>
      </c>
    </row>
    <row r="6" customFormat="false" ht="15" hidden="false" customHeight="true" outlineLevel="0" collapsed="false">
      <c r="A6" s="13" t="s">
        <v>66</v>
      </c>
    </row>
    <row r="7" customFormat="false" ht="15" hidden="false" customHeight="true" outlineLevel="0" collapsed="false">
      <c r="A7" s="7" t="s">
        <v>67</v>
      </c>
      <c r="B7" s="14" t="s">
        <v>68</v>
      </c>
      <c r="C7" s="15" t="n">
        <f aca="false">Assumptions!$B$5*24</f>
        <v>10.8</v>
      </c>
    </row>
    <row r="8" customFormat="false" ht="15" hidden="false" customHeight="true" outlineLevel="0" collapsed="false">
      <c r="A8" s="7" t="s">
        <v>9</v>
      </c>
      <c r="B8" s="14" t="s">
        <v>69</v>
      </c>
      <c r="C8" s="15" t="n">
        <f aca="false">Assumptions!$B$6*24</f>
        <v>1.92</v>
      </c>
    </row>
    <row r="9" customFormat="false" ht="15" hidden="false" customHeight="true" outlineLevel="0" collapsed="false">
      <c r="A9" s="7" t="s">
        <v>70</v>
      </c>
      <c r="B9" s="14" t="s">
        <v>71</v>
      </c>
      <c r="C9" s="15" t="n">
        <f aca="false">Assumptions!$B$7</f>
        <v>0.05</v>
      </c>
    </row>
    <row r="10" customFormat="false" ht="15" hidden="false" customHeight="true" outlineLevel="0" collapsed="false">
      <c r="A10" s="16" t="s">
        <v>72</v>
      </c>
      <c r="B10" s="17"/>
      <c r="C10" s="18" t="n">
        <f aca="false">SUM(C7:C9)</f>
        <v>12.77</v>
      </c>
    </row>
    <row r="12" customFormat="false" ht="15" hidden="false" customHeight="true" outlineLevel="0" collapsed="false">
      <c r="A12" s="13" t="s">
        <v>73</v>
      </c>
    </row>
    <row r="13" customFormat="false" ht="15" hidden="false" customHeight="true" outlineLevel="0" collapsed="false">
      <c r="A13" s="7" t="s">
        <v>74</v>
      </c>
      <c r="B13" s="14" t="s">
        <v>75</v>
      </c>
      <c r="C13" s="15" t="n">
        <f aca="false">Assumptions!$B$8*(Assumptions!$B$10/3600)</f>
        <v>0.1525</v>
      </c>
    </row>
    <row r="14" customFormat="false" ht="15" hidden="false" customHeight="true" outlineLevel="0" collapsed="false">
      <c r="A14" s="7" t="s">
        <v>76</v>
      </c>
      <c r="B14" s="14" t="s">
        <v>77</v>
      </c>
      <c r="C14" s="15" t="n">
        <f aca="false">C13*Assumptions!$B$9</f>
        <v>1.22</v>
      </c>
    </row>
    <row r="16" customFormat="false" ht="15" hidden="false" customHeight="true" outlineLevel="0" collapsed="false">
      <c r="A16" s="13" t="s">
        <v>78</v>
      </c>
    </row>
    <row r="17" customFormat="false" ht="15" hidden="false" customHeight="true" outlineLevel="0" collapsed="false">
      <c r="A17" s="7" t="s">
        <v>79</v>
      </c>
      <c r="B17" s="14" t="s">
        <v>75</v>
      </c>
      <c r="C17" s="15" t="n">
        <f aca="false">Assumptions!$B$8*(Assumptions!$B$12/3600)</f>
        <v>0.254166666666667</v>
      </c>
    </row>
    <row r="18" customFormat="false" ht="15" hidden="false" customHeight="true" outlineLevel="0" collapsed="false">
      <c r="A18" s="7" t="s">
        <v>80</v>
      </c>
      <c r="B18" s="14" t="s">
        <v>81</v>
      </c>
      <c r="C18" s="15" t="n">
        <f aca="false">Assumptions!$B$13*(Assumptions!$B$14/3600)</f>
        <v>0.075</v>
      </c>
    </row>
    <row r="19" customFormat="false" ht="15" hidden="false" customHeight="true" outlineLevel="0" collapsed="false">
      <c r="A19" s="7" t="s">
        <v>82</v>
      </c>
      <c r="B19" s="14" t="s">
        <v>83</v>
      </c>
      <c r="C19" s="15" t="n">
        <f aca="false">Assumptions!$B$15*(Assumptions!$B$16/3600)</f>
        <v>0.125</v>
      </c>
    </row>
    <row r="20" customFormat="false" ht="15" hidden="false" customHeight="true" outlineLevel="0" collapsed="false">
      <c r="A20" s="7" t="s">
        <v>84</v>
      </c>
      <c r="B20" s="14" t="s">
        <v>85</v>
      </c>
      <c r="C20" s="15" t="n">
        <f aca="false">Assumptions!$B$18*(Assumptions!$B$19/3600)</f>
        <v>0.075</v>
      </c>
    </row>
    <row r="21" customFormat="false" ht="15" hidden="false" customHeight="true" outlineLevel="0" collapsed="false">
      <c r="A21" s="1" t="s">
        <v>86</v>
      </c>
      <c r="C21" s="19" t="n">
        <f aca="false">SUM(C17:C20)</f>
        <v>0.529166666666667</v>
      </c>
    </row>
    <row r="22" customFormat="false" ht="15" hidden="false" customHeight="true" outlineLevel="0" collapsed="false">
      <c r="A22" s="7" t="s">
        <v>87</v>
      </c>
      <c r="B22" s="14" t="s">
        <v>77</v>
      </c>
      <c r="C22" s="15" t="n">
        <f aca="false">C21*Assumptions!$B$11</f>
        <v>1.5875</v>
      </c>
    </row>
    <row r="24" customFormat="false" ht="15" hidden="false" customHeight="true" outlineLevel="0" collapsed="false">
      <c r="A24" s="16" t="s">
        <v>88</v>
      </c>
      <c r="B24" s="17"/>
      <c r="C24" s="18" t="n">
        <f aca="false">C14+C22</f>
        <v>2.8075</v>
      </c>
    </row>
    <row r="26" customFormat="false" ht="15" hidden="false" customHeight="true" outlineLevel="0" collapsed="false">
      <c r="A26" s="13" t="s">
        <v>89</v>
      </c>
      <c r="C26" s="19" t="n">
        <f aca="false">C10+C24</f>
        <v>15.5775</v>
      </c>
    </row>
    <row r="27" customFormat="false" ht="15" hidden="false" customHeight="true" outlineLevel="0" collapsed="false">
      <c r="A27" s="20" t="s">
        <v>90</v>
      </c>
      <c r="B27" s="21"/>
      <c r="C27" s="22" t="n">
        <f aca="false">C26*Assumptions!$B$20</f>
        <v>19.471875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50"/>
    <col collapsed="false" customWidth="true" hidden="false" outlineLevel="0" max="3" min="3" style="1" width="16"/>
  </cols>
  <sheetData>
    <row r="1" customFormat="false" ht="17.25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4" customFormat="false" ht="15" hidden="false" customHeight="true" outlineLevel="0" collapsed="false">
      <c r="A4" s="4" t="s">
        <v>64</v>
      </c>
      <c r="B4" s="4" t="s">
        <v>65</v>
      </c>
      <c r="C4" s="4" t="s">
        <v>3</v>
      </c>
    </row>
    <row r="6" customFormat="false" ht="15" hidden="false" customHeight="true" outlineLevel="0" collapsed="false">
      <c r="A6" s="23" t="s">
        <v>93</v>
      </c>
    </row>
    <row r="7" customFormat="false" ht="15" hidden="false" customHeight="true" outlineLevel="0" collapsed="false">
      <c r="A7" s="24" t="s">
        <v>94</v>
      </c>
      <c r="B7" s="14" t="s">
        <v>95</v>
      </c>
      <c r="C7" s="25" t="n">
        <f aca="false">'Daily Energy (Wh)'!$C$27</f>
        <v>19.471875</v>
      </c>
    </row>
    <row r="8" customFormat="false" ht="15" hidden="false" customHeight="true" outlineLevel="0" collapsed="false">
      <c r="A8" s="24" t="s">
        <v>96</v>
      </c>
      <c r="B8" s="14" t="s">
        <v>97</v>
      </c>
      <c r="C8" s="25" t="n">
        <f aca="false">C7*Assumptions!$B$22/Assumptions!$B$21</f>
        <v>68.7242647058824</v>
      </c>
    </row>
    <row r="9" customFormat="false" ht="15" hidden="false" customHeight="true" outlineLevel="0" collapsed="false">
      <c r="A9" s="24" t="s">
        <v>98</v>
      </c>
      <c r="B9" s="14" t="s">
        <v>99</v>
      </c>
      <c r="C9" s="25" t="n">
        <f aca="false">C8/Assumptions!$B$23</f>
        <v>5.36908318014706</v>
      </c>
    </row>
    <row r="10" customFormat="false" ht="15" hidden="false" customHeight="true" outlineLevel="0" collapsed="false">
      <c r="A10" s="26" t="s">
        <v>100</v>
      </c>
      <c r="B10" s="27" t="s">
        <v>101</v>
      </c>
      <c r="C10" s="28" t="n">
        <f aca="false">CEILING(C9,1)</f>
        <v>6</v>
      </c>
    </row>
    <row r="12" customFormat="false" ht="15" hidden="false" customHeight="true" outlineLevel="0" collapsed="false">
      <c r="A12" s="23" t="s">
        <v>102</v>
      </c>
    </row>
    <row r="13" customFormat="false" ht="15" hidden="false" customHeight="true" outlineLevel="0" collapsed="false">
      <c r="A13" s="24" t="s">
        <v>103</v>
      </c>
      <c r="B13" s="14" t="s">
        <v>104</v>
      </c>
      <c r="C13" s="25" t="n">
        <f aca="false">Assumptions!$B$24</f>
        <v>4.6</v>
      </c>
    </row>
    <row r="14" customFormat="false" ht="15" hidden="false" customHeight="true" outlineLevel="0" collapsed="false">
      <c r="A14" s="24" t="s">
        <v>105</v>
      </c>
      <c r="B14" s="14" t="s">
        <v>106</v>
      </c>
      <c r="C14" s="25" t="n">
        <f aca="false">Assumptions!$B$24*(1-Assumptions!$B$25)</f>
        <v>3.22</v>
      </c>
    </row>
    <row r="15" customFormat="false" ht="15" hidden="false" customHeight="true" outlineLevel="0" collapsed="false">
      <c r="A15" s="24" t="s">
        <v>107</v>
      </c>
      <c r="B15" s="14" t="s">
        <v>108</v>
      </c>
      <c r="C15" s="25" t="n">
        <f aca="false">C7/(C14*Assumptions!$B$26)</f>
        <v>8.06288819875777</v>
      </c>
    </row>
    <row r="16" customFormat="false" ht="15" hidden="false" customHeight="true" outlineLevel="0" collapsed="false">
      <c r="A16" s="24" t="s">
        <v>109</v>
      </c>
      <c r="B16" s="14" t="s">
        <v>110</v>
      </c>
      <c r="C16" s="25" t="n">
        <f aca="false">15*C14*Assumptions!$B$26</f>
        <v>36.225</v>
      </c>
    </row>
    <row r="17" customFormat="false" ht="15" hidden="false" customHeight="true" outlineLevel="0" collapsed="false">
      <c r="A17" s="24" t="s">
        <v>111</v>
      </c>
      <c r="B17" s="14" t="s">
        <v>112</v>
      </c>
      <c r="C17" s="25" t="n">
        <f aca="false">20*C14*Assumptions!$B$26</f>
        <v>48.3</v>
      </c>
    </row>
    <row r="18" customFormat="false" ht="15" hidden="false" customHeight="true" outlineLevel="0" collapsed="false">
      <c r="A18" s="24" t="s">
        <v>113</v>
      </c>
      <c r="B18" s="14" t="s">
        <v>114</v>
      </c>
      <c r="C18" s="29" t="n">
        <f aca="false">C16/C7</f>
        <v>1.86037554164661</v>
      </c>
    </row>
    <row r="19" customFormat="false" ht="15" hidden="false" customHeight="true" outlineLevel="0" collapsed="false">
      <c r="A19" s="24" t="s">
        <v>115</v>
      </c>
      <c r="B19" s="14" t="s">
        <v>114</v>
      </c>
      <c r="C19" s="29" t="n">
        <f aca="false">C17/C7</f>
        <v>2.48050072219547</v>
      </c>
    </row>
    <row r="20" customFormat="false" ht="15" hidden="false" customHeight="true" outlineLevel="0" collapsed="false">
      <c r="A20" s="13" t="s">
        <v>116</v>
      </c>
    </row>
    <row r="21" customFormat="false" ht="39.75" hidden="false" customHeight="true" outlineLevel="0" collapsed="false">
      <c r="A21" s="30" t="s">
        <v>117</v>
      </c>
      <c r="B21" s="30"/>
      <c r="C21" s="30"/>
    </row>
    <row r="23" customFormat="false" ht="15" hidden="false" customHeight="true" outlineLevel="0" collapsed="false">
      <c r="A23" s="23" t="s">
        <v>118</v>
      </c>
    </row>
    <row r="24" customFormat="false" ht="15" hidden="false" customHeight="true" outlineLevel="0" collapsed="false">
      <c r="A24" s="24" t="s">
        <v>119</v>
      </c>
      <c r="B24" s="14" t="s">
        <v>120</v>
      </c>
      <c r="C24" s="25" t="n">
        <f aca="false">20/Assumptions!$B$23</f>
        <v>1.5625</v>
      </c>
    </row>
    <row r="25" customFormat="false" ht="15" hidden="false" customHeight="true" outlineLevel="0" collapsed="false">
      <c r="A25" s="31" t="s">
        <v>121</v>
      </c>
      <c r="B25" s="14" t="s">
        <v>122</v>
      </c>
      <c r="C25" s="32" t="n">
        <f aca="false">C24*1.5</f>
        <v>2.34375</v>
      </c>
    </row>
    <row r="26" customFormat="false" ht="30" hidden="false" customHeight="true" outlineLevel="0" collapsed="false">
      <c r="A26" s="30" t="s">
        <v>123</v>
      </c>
      <c r="B26" s="30"/>
      <c r="C26" s="30"/>
    </row>
    <row r="28" customFormat="false" ht="15" hidden="false" customHeight="true" outlineLevel="0" collapsed="false">
      <c r="A28" s="23" t="s">
        <v>124</v>
      </c>
    </row>
    <row r="29" customFormat="false" ht="15" hidden="false" customHeight="true" outlineLevel="0" collapsed="false">
      <c r="A29" s="24" t="s">
        <v>125</v>
      </c>
      <c r="B29" s="14" t="s">
        <v>126</v>
      </c>
      <c r="C29" s="25" t="n">
        <f aca="false">Assumptions!$B$8+Assumptions!$B$13+Assumptions!$B$17+Assumptions!$B$18</f>
        <v>45.1</v>
      </c>
    </row>
    <row r="30" customFormat="false" ht="15" hidden="false" customHeight="true" outlineLevel="0" collapsed="false">
      <c r="A30" s="24" t="s">
        <v>127</v>
      </c>
      <c r="B30" s="14" t="s">
        <v>128</v>
      </c>
      <c r="C30" s="25" t="n">
        <f aca="false">C29/Assumptions!$B$23</f>
        <v>3.5234375</v>
      </c>
    </row>
    <row r="31" customFormat="false" ht="15" hidden="false" customHeight="true" outlineLevel="0" collapsed="false">
      <c r="A31" s="31" t="s">
        <v>129</v>
      </c>
      <c r="B31" s="14" t="s">
        <v>130</v>
      </c>
      <c r="C31" s="32" t="n">
        <f aca="false">C30*Assumptions!$B$27</f>
        <v>4.404296875</v>
      </c>
    </row>
    <row r="32" customFormat="false" ht="15" hidden="false" customHeight="true" outlineLevel="0" collapsed="false">
      <c r="A32" s="24" t="s">
        <v>131</v>
      </c>
      <c r="B32" s="14" t="s">
        <v>132</v>
      </c>
      <c r="C32" s="25" t="s">
        <v>133</v>
      </c>
    </row>
    <row r="33" customFormat="false" ht="15" hidden="false" customHeight="true" outlineLevel="0" collapsed="false">
      <c r="A33" s="33" t="s">
        <v>134</v>
      </c>
      <c r="B33" s="34" t="s">
        <v>135</v>
      </c>
      <c r="C33" s="35" t="n">
        <f aca="false">C32/C31</f>
        <v>1.13525498891353</v>
      </c>
    </row>
    <row r="36" customFormat="false" ht="15" hidden="false" customHeight="false" outlineLevel="0" collapsed="false">
      <c r="A36" s="36" t="s">
        <v>136</v>
      </c>
    </row>
    <row r="37" customFormat="false" ht="15" hidden="false" customHeight="false" outlineLevel="0" collapsed="false">
      <c r="A37" s="37" t="s">
        <v>137</v>
      </c>
      <c r="B37" s="37" t="s">
        <v>65</v>
      </c>
      <c r="C37" s="37" t="s">
        <v>138</v>
      </c>
    </row>
    <row r="38" customFormat="false" ht="15" hidden="false" customHeight="false" outlineLevel="0" collapsed="false">
      <c r="A38" s="38" t="s">
        <v>139</v>
      </c>
      <c r="B38" s="39" t="s">
        <v>140</v>
      </c>
      <c r="C38" s="40" t="n">
        <f aca="false">CEILING(C7*2/Assumptions!$B$21/Assumptions!$B$23,1)</f>
        <v>4</v>
      </c>
    </row>
    <row r="39" customFormat="false" ht="15" hidden="false" customHeight="false" outlineLevel="0" collapsed="false">
      <c r="A39" s="41" t="s">
        <v>141</v>
      </c>
      <c r="B39" s="42" t="s">
        <v>142</v>
      </c>
      <c r="C39" s="43" t="n">
        <f aca="false">CEILING(C7*3/Assumptions!$B$21/Assumptions!$B$23,1)</f>
        <v>6</v>
      </c>
    </row>
    <row r="40" customFormat="false" ht="15" hidden="false" customHeight="false" outlineLevel="0" collapsed="false">
      <c r="A40" s="38" t="s">
        <v>143</v>
      </c>
      <c r="B40" s="39" t="s">
        <v>144</v>
      </c>
      <c r="C40" s="40" t="n">
        <f aca="false">CEILING(C7*4/Assumptions!$B$21/Assumptions!$B$23,1)</f>
        <v>8</v>
      </c>
    </row>
  </sheetData>
  <mergeCells count="2">
    <mergeCell ref="A21:C21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145</v>
      </c>
    </row>
    <row r="3" customFormat="false" ht="15" hidden="false" customHeight="true" outlineLevel="0" collapsed="false">
      <c r="A3" s="44" t="s">
        <v>146</v>
      </c>
    </row>
    <row r="4" customFormat="false" ht="23.25" hidden="false" customHeight="true" outlineLevel="0" collapsed="false">
      <c r="A4" s="45" t="s">
        <v>147</v>
      </c>
    </row>
    <row r="6" customFormat="false" ht="15" hidden="false" customHeight="true" outlineLevel="0" collapsed="false">
      <c r="A6" s="44" t="s">
        <v>148</v>
      </c>
    </row>
    <row r="7" customFormat="false" ht="45.75" hidden="false" customHeight="true" outlineLevel="0" collapsed="false">
      <c r="A7" s="45" t="s">
        <v>149</v>
      </c>
    </row>
    <row r="8" customFormat="false" ht="23.25" hidden="false" customHeight="true" outlineLevel="0" collapsed="false">
      <c r="A8" s="45" t="s">
        <v>150</v>
      </c>
    </row>
    <row r="9" customFormat="false" ht="34.5" hidden="false" customHeight="true" outlineLevel="0" collapsed="false">
      <c r="A9" s="45" t="s">
        <v>151</v>
      </c>
    </row>
    <row r="10" customFormat="false" ht="45.75" hidden="false" customHeight="true" outlineLevel="0" collapsed="false">
      <c r="A10" s="45" t="s">
        <v>152</v>
      </c>
    </row>
    <row r="12" customFormat="false" ht="15" hidden="false" customHeight="true" outlineLevel="0" collapsed="false">
      <c r="A12" s="44" t="s">
        <v>153</v>
      </c>
    </row>
    <row r="13" customFormat="false" ht="34.5" hidden="false" customHeight="true" outlineLevel="0" collapsed="false">
      <c r="A13" s="45" t="s">
        <v>154</v>
      </c>
    </row>
    <row r="15" customFormat="false" ht="15" hidden="false" customHeight="true" outlineLevel="0" collapsed="false">
      <c r="A15" s="44" t="s">
        <v>155</v>
      </c>
    </row>
    <row r="16" customFormat="false" ht="34.5" hidden="false" customHeight="true" outlineLevel="0" collapsed="false">
      <c r="A16" s="45" t="s">
        <v>156</v>
      </c>
    </row>
    <row r="17" customFormat="false" ht="15" hidden="false" customHeight="true" outlineLevel="0" collapsed="false">
      <c r="A17" s="45" t="s">
        <v>157</v>
      </c>
    </row>
    <row r="18" customFormat="false" ht="23.25" hidden="false" customHeight="true" outlineLevel="0" collapsed="false">
      <c r="A18" s="45" t="s">
        <v>158</v>
      </c>
    </row>
    <row r="19" customFormat="false" ht="15" hidden="false" customHeight="true" outlineLevel="0" collapsed="false">
      <c r="A19" s="45" t="s">
        <v>159</v>
      </c>
    </row>
    <row r="21" customFormat="false" ht="15" hidden="false" customHeight="true" outlineLevel="0" collapsed="false">
      <c r="A21" s="44" t="s">
        <v>160</v>
      </c>
    </row>
    <row r="22" customFormat="false" ht="23.25" hidden="false" customHeight="true" outlineLevel="0" collapsed="false">
      <c r="A22" s="45" t="s">
        <v>161</v>
      </c>
    </row>
    <row r="23" customFormat="false" ht="23.25" hidden="false" customHeight="true" outlineLevel="0" collapsed="false">
      <c r="A23" s="45" t="s">
        <v>162</v>
      </c>
    </row>
    <row r="24" customFormat="false" ht="23.25" hidden="false" customHeight="true" outlineLevel="0" collapsed="false">
      <c r="A24" s="45" t="s">
        <v>163</v>
      </c>
    </row>
    <row r="25" customFormat="false" ht="45.75" hidden="false" customHeight="true" outlineLevel="0" collapsed="false">
      <c r="A25" s="45" t="s">
        <v>164</v>
      </c>
    </row>
    <row r="27" customFormat="false" ht="15" hidden="false" customHeight="true" outlineLevel="0" collapsed="false">
      <c r="A27" s="44" t="s">
        <v>165</v>
      </c>
    </row>
    <row r="28" customFormat="false" ht="23.25" hidden="false" customHeight="true" outlineLevel="0" collapsed="false">
      <c r="A28" s="45" t="s">
        <v>166</v>
      </c>
    </row>
    <row r="29" customFormat="false" ht="15" hidden="false" customHeight="true" outlineLevel="0" collapsed="false">
      <c r="A29" s="45" t="s">
        <v>167</v>
      </c>
    </row>
    <row r="30" customFormat="false" ht="15" hidden="false" customHeight="true" outlineLevel="0" collapsed="false">
      <c r="A30" s="45" t="s">
        <v>168</v>
      </c>
    </row>
    <row r="31" customFormat="false" ht="23.25" hidden="false" customHeight="true" outlineLevel="0" collapsed="false">
      <c r="A31" s="45" t="s">
        <v>169</v>
      </c>
    </row>
    <row r="32" customFormat="false" ht="23.25" hidden="false" customHeight="true" outlineLevel="0" collapsed="false">
      <c r="A32" s="45" t="s">
        <v>170</v>
      </c>
    </row>
    <row r="34" customFormat="false" ht="15" hidden="false" customHeight="true" outlineLevel="0" collapsed="false">
      <c r="A34" s="44" t="s">
        <v>171</v>
      </c>
    </row>
    <row r="35" customFormat="false" ht="21.75" hidden="false" customHeight="true" outlineLevel="0" collapsed="false">
      <c r="A35" s="46" t="s">
        <v>172</v>
      </c>
    </row>
    <row r="36" customFormat="false" ht="15" hidden="false" customHeight="true" outlineLevel="0" collapsed="false">
      <c r="A36" s="46" t="s">
        <v>173</v>
      </c>
    </row>
    <row r="37" customFormat="false" ht="21.75" hidden="false" customHeight="true" outlineLevel="0" collapsed="false">
      <c r="A37" s="46" t="s">
        <v>174</v>
      </c>
    </row>
    <row r="38" customFormat="false" ht="15" hidden="false" customHeight="true" outlineLevel="0" collapsed="false">
      <c r="A38" s="46" t="s">
        <v>175</v>
      </c>
    </row>
    <row r="39" customFormat="false" ht="21.75" hidden="false" customHeight="true" outlineLevel="0" collapsed="false">
      <c r="A39" s="46" t="s">
        <v>176</v>
      </c>
    </row>
    <row r="40" customFormat="false" ht="21.75" hidden="false" customHeight="true" outlineLevel="0" collapsed="false">
      <c r="A40" s="46" t="s">
        <v>177</v>
      </c>
    </row>
    <row r="41" customFormat="false" ht="15" hidden="false" customHeight="true" outlineLevel="0" collapsed="false">
      <c r="A41" s="46" t="s">
        <v>178</v>
      </c>
    </row>
    <row r="43" customFormat="false" ht="15" hidden="false" customHeight="false" outlineLevel="0" collapsed="false">
      <c r="A43" s="36" t="s">
        <v>179</v>
      </c>
    </row>
    <row r="44" customFormat="false" ht="32.8" hidden="false" customHeight="false" outlineLevel="0" collapsed="false">
      <c r="A44" s="47" t="s">
        <v>180</v>
      </c>
    </row>
    <row r="45" customFormat="false" ht="32.8" hidden="false" customHeight="false" outlineLevel="0" collapsed="false">
      <c r="A45" s="47" t="s">
        <v>181</v>
      </c>
    </row>
    <row r="46" customFormat="false" ht="32.8" hidden="false" customHeight="false" outlineLevel="0" collapsed="false">
      <c r="A46" s="47" t="s">
        <v>182</v>
      </c>
    </row>
    <row r="47" customFormat="false" ht="22.35" hidden="false" customHeight="false" outlineLevel="0" collapsed="false">
      <c r="A47" s="47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2026-08-12T19:52:54Z</dcterms:created>
  <dc:creator>openpyxl</dc:creator>
  <dc:description/>
  <dc:language>en-US</dc:language>
  <cp:lastModifiedBy/>
  <dcterms:modified xsi:type="dcterms:W3CDTF">2026-08-12T20:07:54Z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